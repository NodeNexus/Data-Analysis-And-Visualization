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NAVC2\SEM5\DAV LAB\PRAC2\"/>
    </mc:Choice>
  </mc:AlternateContent>
  <xr:revisionPtr revIDLastSave="0" documentId="8_{BA59062B-C013-4A15-8DCF-567F55042A51}" xr6:coauthVersionLast="47" xr6:coauthVersionMax="47" xr10:uidLastSave="{00000000-0000-0000-0000-000000000000}"/>
  <bookViews>
    <workbookView xWindow="-108" yWindow="-108" windowWidth="23256" windowHeight="12456" activeTab="2" xr2:uid="{728E8B78-D0EC-47F7-B07D-804A5B2F6F51}"/>
  </bookViews>
  <sheets>
    <sheet name="Customers" sheetId="2" r:id="rId1"/>
    <sheet name="Orders" sheetId="3" r:id="rId2"/>
    <sheet name="Sheet2" sheetId="4" r:id="rId3"/>
  </sheets>
  <definedNames>
    <definedName name="ExternalData_1" localSheetId="0" hidden="1">'Customers'!$A$1:$F$21</definedName>
    <definedName name="ExternalData_2" localSheetId="1" hidden="1">Orders!$A$1:$G$27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4" l="1"/>
  <c r="E8" i="4"/>
  <c r="E9" i="4"/>
  <c r="E10" i="4"/>
  <c r="E11" i="4"/>
  <c r="E12" i="4"/>
  <c r="E6" i="4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H2" i="2"/>
  <c r="H3" i="2"/>
  <c r="H4" i="2"/>
  <c r="H5" i="2"/>
  <c r="H6" i="2"/>
  <c r="H7" i="2"/>
  <c r="H13" i="2"/>
  <c r="H14" i="2"/>
  <c r="H15" i="2"/>
  <c r="H16" i="2"/>
  <c r="H17" i="2"/>
  <c r="H18" i="2"/>
  <c r="H19" i="2"/>
  <c r="H20" i="2"/>
  <c r="H21" i="2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G8" i="2"/>
  <c r="H8" i="2"/>
  <c r="H11" i="2"/>
  <c r="G11" i="2"/>
  <c r="G12" i="2"/>
  <c r="H12" i="2"/>
  <c r="H9" i="2"/>
  <c r="G9" i="2"/>
  <c r="H10" i="2"/>
  <c r="G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B296ED-7889-4628-8E64-E3D42B23AA65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8C87D704-1C61-4021-9D90-DEBE037BB35B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<sst xmlns="http://schemas.openxmlformats.org/spreadsheetml/2006/main" count="260" uniqueCount="115">
  <si>
    <t>Column1</t>
  </si>
  <si>
    <t>Column2</t>
  </si>
  <si>
    <t>Column3</t>
  </si>
  <si>
    <t>Column4</t>
  </si>
  <si>
    <t>Column5</t>
  </si>
  <si>
    <t>Column6</t>
  </si>
  <si>
    <t>Customer ID</t>
  </si>
  <si>
    <t>Customer Name</t>
  </si>
  <si>
    <t>Segment</t>
  </si>
  <si>
    <t>Country</t>
  </si>
  <si>
    <t>State</t>
  </si>
  <si>
    <t>City</t>
  </si>
  <si>
    <t>C001</t>
  </si>
  <si>
    <t>Alice Johnson</t>
  </si>
  <si>
    <t>Consumer</t>
  </si>
  <si>
    <t>california</t>
  </si>
  <si>
    <t>Los Angeles</t>
  </si>
  <si>
    <t>C002</t>
  </si>
  <si>
    <t>Bob Smith</t>
  </si>
  <si>
    <t>Corporate</t>
  </si>
  <si>
    <t>Canada</t>
  </si>
  <si>
    <t>Ontario</t>
  </si>
  <si>
    <t>Toronto</t>
  </si>
  <si>
    <t>Charlie Brown</t>
  </si>
  <si>
    <t>Home Office</t>
  </si>
  <si>
    <t>England</t>
  </si>
  <si>
    <t>London</t>
  </si>
  <si>
    <t>C003</t>
  </si>
  <si>
    <t>C004</t>
  </si>
  <si>
    <t>C005</t>
  </si>
  <si>
    <t>United Kingdom</t>
  </si>
  <si>
    <t>C006</t>
  </si>
  <si>
    <t>C007</t>
  </si>
  <si>
    <t>C008</t>
  </si>
  <si>
    <t>C009</t>
  </si>
  <si>
    <t>C010</t>
  </si>
  <si>
    <t>C011</t>
  </si>
  <si>
    <t>C012</t>
  </si>
  <si>
    <t>Order ID</t>
  </si>
  <si>
    <t>Order Date</t>
  </si>
  <si>
    <t>Product Name</t>
  </si>
  <si>
    <t>Category</t>
  </si>
  <si>
    <t>Sales</t>
  </si>
  <si>
    <t>Quantity</t>
  </si>
  <si>
    <t>O001</t>
  </si>
  <si>
    <t>2022-01-10</t>
  </si>
  <si>
    <t>CANON PRINTER</t>
  </si>
  <si>
    <t>O002</t>
  </si>
  <si>
    <t>2022-01-12</t>
  </si>
  <si>
    <t>LENOVO LAPTOP</t>
  </si>
  <si>
    <t>O003</t>
  </si>
  <si>
    <t>2022-01-15</t>
  </si>
  <si>
    <t>HP INK CARTRIDGE</t>
  </si>
  <si>
    <t>O004</t>
  </si>
  <si>
    <t>2022-01-18</t>
  </si>
  <si>
    <t>OFFICE CHAIR</t>
  </si>
  <si>
    <t>Furniture</t>
  </si>
  <si>
    <t>O005</t>
  </si>
  <si>
    <t>2022-01-19</t>
  </si>
  <si>
    <t>O006</t>
  </si>
  <si>
    <t>2022-01-20</t>
  </si>
  <si>
    <t>O007</t>
  </si>
  <si>
    <t>2022-01-21</t>
  </si>
  <si>
    <t>O008</t>
  </si>
  <si>
    <t>2022-01-22</t>
  </si>
  <si>
    <t>Office Chair</t>
  </si>
  <si>
    <t>O009</t>
  </si>
  <si>
    <t>2022-01-23</t>
  </si>
  <si>
    <t>Canon Printer</t>
  </si>
  <si>
    <t>kkk</t>
  </si>
  <si>
    <t>O010</t>
  </si>
  <si>
    <t>2022-01-24</t>
  </si>
  <si>
    <t>Lenovo Laptop</t>
  </si>
  <si>
    <t>O011</t>
  </si>
  <si>
    <t>2022-01-25</t>
  </si>
  <si>
    <t>HP Ink Cartridge</t>
  </si>
  <si>
    <t>O012</t>
  </si>
  <si>
    <t>2022-01-26</t>
  </si>
  <si>
    <t>O013</t>
  </si>
  <si>
    <t>2022-01-27</t>
  </si>
  <si>
    <t>O014</t>
  </si>
  <si>
    <t>2022-01-28</t>
  </si>
  <si>
    <t>O015</t>
  </si>
  <si>
    <t>2022-01-29</t>
  </si>
  <si>
    <t>O016</t>
  </si>
  <si>
    <t>2022-01-30</t>
  </si>
  <si>
    <t>O017</t>
  </si>
  <si>
    <t>2022-01-31</t>
  </si>
  <si>
    <t>O018</t>
  </si>
  <si>
    <t>2022-01-32</t>
  </si>
  <si>
    <t>abc</t>
  </si>
  <si>
    <t>O019</t>
  </si>
  <si>
    <t>2022-01-33</t>
  </si>
  <si>
    <t>O020</t>
  </si>
  <si>
    <t>2022-01-34</t>
  </si>
  <si>
    <t>O021</t>
  </si>
  <si>
    <t>2022-01-35</t>
  </si>
  <si>
    <t>O022</t>
  </si>
  <si>
    <t>2022-01-36</t>
  </si>
  <si>
    <t>O023</t>
  </si>
  <si>
    <t>2022-01-37</t>
  </si>
  <si>
    <t>Office Supplies</t>
  </si>
  <si>
    <t>O024</t>
  </si>
  <si>
    <t>2022-01-38</t>
  </si>
  <si>
    <t>O025</t>
  </si>
  <si>
    <t>2022-01-39</t>
  </si>
  <si>
    <t>United States</t>
  </si>
  <si>
    <t>Column7</t>
  </si>
  <si>
    <t>Column8</t>
  </si>
  <si>
    <t>ram</t>
  </si>
  <si>
    <t>sagar</t>
  </si>
  <si>
    <t>deep</t>
  </si>
  <si>
    <t>naman</t>
  </si>
  <si>
    <t>aman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</si>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</sst>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7" formatCode="&quot;₹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NumberFormat="1" applyFont="1" applyBorder="1" applyAlignment="1">
      <alignment horizontal="left"/>
    </xf>
    <xf numFmtId="0" fontId="3" fillId="0" borderId="3" xfId="0" applyNumberFormat="1" applyFont="1" applyBorder="1" applyAlignment="1">
      <alignment horizontal="left"/>
    </xf>
    <xf numFmtId="44" fontId="3" fillId="0" borderId="1" xfId="1" applyFont="1" applyBorder="1" applyAlignment="1">
      <alignment horizontal="left"/>
    </xf>
    <xf numFmtId="0" fontId="0" fillId="0" borderId="4" xfId="0" applyBorder="1"/>
    <xf numFmtId="0" fontId="0" fillId="0" borderId="2" xfId="0" applyBorder="1"/>
    <xf numFmtId="0" fontId="3" fillId="0" borderId="5" xfId="0" applyNumberFormat="1" applyFont="1" applyBorder="1" applyAlignment="1">
      <alignment horizontal="left"/>
    </xf>
    <xf numFmtId="0" fontId="3" fillId="0" borderId="6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0" fontId="0" fillId="0" borderId="3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25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6A485B-890D-43BC-B637-919AA5DA7D30}" autoFormatId="16" applyNumberFormats="0" applyBorderFormats="0" applyFontFormats="0" applyPatternFormats="0" applyAlignmentFormats="0" applyWidthHeightFormats="0">
  <queryTableRefresh nextId="13" unboundColumnsRight="2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dataBound="0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86E6005-2908-44A2-9205-D09295E42601}" autoFormatId="16" applyNumberFormats="0" applyBorderFormats="0" applyFontFormats="0" applyPatternFormats="0" applyAlignmentFormats="0" applyWidthHeightFormats="0">
  <queryTableRefresh nextId="12" unboundColumnsRight="3">
    <queryTableFields count="10">
      <queryTableField id="1" name="Order ID" tableColumnId="1"/>
      <queryTableField id="2" name="Order Date" tableColumnId="2"/>
      <queryTableField id="3" name="Customer ID" tableColumnId="3"/>
      <queryTableField id="4" name="Product Name" tableColumnId="4"/>
      <queryTableField id="5" name="Category" tableColumnId="5"/>
      <queryTableField id="6" name="Sales" tableColumnId="6"/>
      <queryTableField id="7" name="Quantity" tableColumnId="7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8797BE-F040-4238-8BC7-18E5694A5C59}" name="Customers" displayName="Customers" ref="A1:H21" tableType="queryTable" totalsRowShown="0" headerRowDxfId="13" dataDxfId="24" headerRowBorderDxfId="22" tableBorderDxfId="23" totalsRowBorderDxfId="21">
  <autoFilter ref="A1:H21" xr:uid="{5D8797BE-F040-4238-8BC7-18E5694A5C59}"/>
  <tableColumns count="8">
    <tableColumn id="1" xr3:uid="{EF7A3233-8185-45E2-B2B5-E1291DD5DFB8}" uniqueName="1" name="Column1" queryTableFieldId="1" dataDxfId="20"/>
    <tableColumn id="2" xr3:uid="{86A75EE8-8816-4413-9D0C-BF8FAB83693D}" uniqueName="2" name="Column2" queryTableFieldId="2" dataDxfId="19"/>
    <tableColumn id="3" xr3:uid="{317BBDCF-3527-4F78-9F3C-B888CFC760DD}" uniqueName="3" name="Column3" queryTableFieldId="3" dataDxfId="18"/>
    <tableColumn id="4" xr3:uid="{9F0C3761-65AA-44F1-A765-1045C3D22584}" uniqueName="4" name="Column4" queryTableFieldId="4" dataDxfId="17"/>
    <tableColumn id="5" xr3:uid="{154E6C2C-6A59-49ED-94C0-B65A5F08FCAD}" uniqueName="5" name="Column5" queryTableFieldId="5" dataDxfId="16"/>
    <tableColumn id="6" xr3:uid="{0A5CF0CB-C22B-450F-8370-5A130CAF3E08}" uniqueName="6" name="Column6" queryTableFieldId="6" dataDxfId="15"/>
    <tableColumn id="7" xr3:uid="{DD57BF95-B2D2-4715-B256-BA6F17962C16}" uniqueName="7" name="Column7" queryTableFieldId="7" dataDxfId="14"/>
    <tableColumn id="8" xr3:uid="{837440AC-236C-4583-BF61-1633D7AA017A}" uniqueName="8" name="Column8" queryTableFieldId="8" dataDxfId="1">
      <calculatedColumnFormula>UPPER(Customers[[#This Row],[Column7]])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9ADC03-7C0C-42F2-B9DE-3D678A67790E}" name="Orders" displayName="Orders" ref="A1:J27" tableType="queryTable" totalsRowShown="0" headerRowDxfId="3" dataDxfId="2">
  <autoFilter ref="A1:J27" xr:uid="{DF9ADC03-7C0C-42F2-B9DE-3D678A67790E}"/>
  <tableColumns count="10">
    <tableColumn id="1" xr3:uid="{538BE51D-ADD9-48BE-8114-FA409AA1E06E}" uniqueName="1" name="Order ID" queryTableFieldId="1" dataDxfId="12"/>
    <tableColumn id="2" xr3:uid="{B716B871-ED50-48D3-A955-5A0CAE650939}" uniqueName="2" name="Order Date" queryTableFieldId="2" dataDxfId="11"/>
    <tableColumn id="3" xr3:uid="{A471B563-194E-4D1F-A2E3-E962C5EF7D23}" uniqueName="3" name="Customer ID" queryTableFieldId="3" dataDxfId="10"/>
    <tableColumn id="4" xr3:uid="{35F9D030-8D92-4B13-BF23-9D8408F342F5}" uniqueName="4" name="Product Name" queryTableFieldId="4" dataDxfId="9"/>
    <tableColumn id="5" xr3:uid="{4433BE8B-1B56-4994-BF8A-BA41E8122C9B}" uniqueName="5" name="Category" queryTableFieldId="5" dataDxfId="8"/>
    <tableColumn id="6" xr3:uid="{55BE78A0-8F43-4C6F-9522-4C28102FB969}" uniqueName="6" name="Sales" queryTableFieldId="6" dataDxfId="7"/>
    <tableColumn id="7" xr3:uid="{72134689-E69E-4FAF-967F-EEED2916B185}" uniqueName="7" name="Quantity" queryTableFieldId="7" dataDxfId="6"/>
    <tableColumn id="9" xr3:uid="{0C7C3153-1A1B-4BB4-AF46-242100DA85A7}" uniqueName="9" name="Column2" queryTableFieldId="9" dataDxfId="5"/>
    <tableColumn id="10" xr3:uid="{25971133-801D-4558-B22D-E43FE1272FF1}" uniqueName="10" name="Column3" queryTableFieldId="10" dataDxfId="4">
      <calculatedColumnFormula>ISNUMBER(Orders[[#This Row],[Quantity]])</calculatedColumnFormula>
    </tableColumn>
    <tableColumn id="11" xr3:uid="{8FBB045A-86B4-4897-9608-F3CF10812BD4}" uniqueName="11" name="Column4" queryTableFieldId="11" dataDxfId="0">
      <calculatedColumnFormula>IF(ISBLANK(Orders[[#This Row],[Quantity]]),"null",G2)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5107CB-12B2-40C9-BAB7-C41EF68A0339}">
  <we:reference id="wa200006067" version="1.0.0.9" store="en-US" storeType="OMEX"/>
  <we:alternateReferences>
    <we:reference id="wa200006067" version="1.0.0.9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E8BC-0E98-4E25-A44B-41CD6119F569}">
  <dimension ref="A1:H21"/>
  <sheetViews>
    <sheetView workbookViewId="0">
      <selection activeCell="I15" sqref="I15"/>
    </sheetView>
  </sheetViews>
  <sheetFormatPr defaultRowHeight="14.4" x14ac:dyDescent="0.3"/>
  <cols>
    <col min="1" max="1" width="13.6640625" customWidth="1"/>
    <col min="2" max="2" width="18.88671875" customWidth="1"/>
    <col min="3" max="3" width="11.109375" bestFit="1" customWidth="1"/>
    <col min="4" max="4" width="16.44140625" customWidth="1"/>
    <col min="5" max="5" width="14.6640625" customWidth="1"/>
    <col min="6" max="6" width="13.5546875" customWidth="1"/>
    <col min="7" max="7" width="8.44140625" customWidth="1"/>
    <col min="8" max="8" width="12" customWidth="1"/>
    <col min="9" max="9" width="11.77734375" customWidth="1"/>
    <col min="10" max="10" width="17.109375" customWidth="1"/>
    <col min="11" max="11" width="13.77734375" customWidth="1"/>
  </cols>
  <sheetData>
    <row r="1" spans="1:8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107</v>
      </c>
      <c r="H1" s="5" t="s">
        <v>108</v>
      </c>
    </row>
    <row r="2" spans="1:8" x14ac:dyDescent="0.3">
      <c r="A2" s="6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3" t="s">
        <v>113</v>
      </c>
      <c r="H2" s="1" t="str">
        <f>UPPER(Customers[[#This Row],[Column7]])</f>
        <v>AMAN</v>
      </c>
    </row>
    <row r="3" spans="1:8" x14ac:dyDescent="0.3">
      <c r="A3" s="6" t="s">
        <v>12</v>
      </c>
      <c r="B3" s="1" t="s">
        <v>13</v>
      </c>
      <c r="C3" s="1" t="s">
        <v>14</v>
      </c>
      <c r="D3" s="1" t="s">
        <v>106</v>
      </c>
      <c r="E3" s="1" t="s">
        <v>15</v>
      </c>
      <c r="F3" s="1" t="s">
        <v>16</v>
      </c>
      <c r="G3" s="1" t="s">
        <v>109</v>
      </c>
      <c r="H3" s="1" t="str">
        <f>UPPER(Customers[[#This Row],[Column7]])</f>
        <v>RAM</v>
      </c>
    </row>
    <row r="4" spans="1:8" x14ac:dyDescent="0.3">
      <c r="A4" s="6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110</v>
      </c>
      <c r="H4" s="1" t="str">
        <f>UPPER(Customers[[#This Row],[Column7]])</f>
        <v>SAGAR</v>
      </c>
    </row>
    <row r="5" spans="1:8" x14ac:dyDescent="0.3">
      <c r="A5" s="6" t="s">
        <v>12</v>
      </c>
      <c r="B5" s="1" t="s">
        <v>23</v>
      </c>
      <c r="C5" s="1" t="s">
        <v>24</v>
      </c>
      <c r="D5" s="1" t="s">
        <v>30</v>
      </c>
      <c r="E5" s="1" t="s">
        <v>25</v>
      </c>
      <c r="F5" s="1" t="s">
        <v>26</v>
      </c>
      <c r="G5" s="1" t="s">
        <v>111</v>
      </c>
      <c r="H5" s="1" t="str">
        <f>UPPER(Customers[[#This Row],[Column7]])</f>
        <v>DEEP</v>
      </c>
    </row>
    <row r="6" spans="1:8" x14ac:dyDescent="0.3">
      <c r="A6" s="6" t="s">
        <v>27</v>
      </c>
      <c r="B6" s="1" t="s">
        <v>13</v>
      </c>
      <c r="C6" s="1" t="s">
        <v>14</v>
      </c>
      <c r="D6" s="1" t="s">
        <v>106</v>
      </c>
      <c r="E6" s="1" t="s">
        <v>15</v>
      </c>
      <c r="F6" s="1" t="s">
        <v>16</v>
      </c>
      <c r="G6" s="1" t="s">
        <v>112</v>
      </c>
      <c r="H6" s="1" t="str">
        <f>UPPER(Customers[[#This Row],[Column7]])</f>
        <v>NAMAN</v>
      </c>
    </row>
    <row r="7" spans="1:8" x14ac:dyDescent="0.3">
      <c r="A7" s="6" t="s">
        <v>28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1"/>
      <c r="H7" s="1" t="str">
        <f>UPPER(Customers[[#This Row],[Column7]])</f>
        <v/>
      </c>
    </row>
    <row r="8" spans="1:8" x14ac:dyDescent="0.3">
      <c r="A8" s="6" t="s">
        <v>29</v>
      </c>
      <c r="B8" s="1" t="s">
        <v>23</v>
      </c>
      <c r="C8" s="1" t="s">
        <v>24</v>
      </c>
      <c r="D8" s="1" t="s">
        <v>30</v>
      </c>
      <c r="E8" s="1" t="s">
        <v>25</v>
      </c>
      <c r="F8" s="1" t="s">
        <v>26</v>
      </c>
      <c r="G8" s="1" t="str">
        <f ca="1">UPPER(Customers[[#This Row],[Column7]])</f>
        <v>AMAN</v>
      </c>
      <c r="H8" s="1" t="str">
        <f ca="1">UPPER(Customers[[#This Row],[Column7]])</f>
        <v/>
      </c>
    </row>
    <row r="9" spans="1:8" x14ac:dyDescent="0.3">
      <c r="A9" s="6" t="s">
        <v>31</v>
      </c>
      <c r="B9" s="1" t="s">
        <v>13</v>
      </c>
      <c r="C9" s="1" t="s">
        <v>14</v>
      </c>
      <c r="D9" s="1" t="s">
        <v>106</v>
      </c>
      <c r="E9" s="1" t="s">
        <v>15</v>
      </c>
      <c r="F9" s="1" t="s">
        <v>16</v>
      </c>
      <c r="G9" s="1" t="str">
        <f ca="1">UPPER(Customers[[#This Row],[Column7]])</f>
        <v>RAM</v>
      </c>
      <c r="H9" s="1" t="str">
        <f ca="1">UPPER(Customers[[#This Row],[Column7]])</f>
        <v/>
      </c>
    </row>
    <row r="10" spans="1:8" x14ac:dyDescent="0.3">
      <c r="A10" s="6" t="s">
        <v>32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tr">
        <f ca="1">UPPER(Customers[[#This Row],[Column7]])</f>
        <v>SAGAR</v>
      </c>
      <c r="H10" s="1" t="str">
        <f ca="1">UPPER(Customers[[#This Row],[Column7]])</f>
        <v/>
      </c>
    </row>
    <row r="11" spans="1:8" x14ac:dyDescent="0.3">
      <c r="A11" s="6" t="s">
        <v>33</v>
      </c>
      <c r="B11" s="1" t="s">
        <v>23</v>
      </c>
      <c r="C11" s="1" t="s">
        <v>24</v>
      </c>
      <c r="D11" s="1" t="s">
        <v>30</v>
      </c>
      <c r="E11" s="1" t="s">
        <v>25</v>
      </c>
      <c r="F11" s="1" t="s">
        <v>26</v>
      </c>
      <c r="G11" s="1" t="str">
        <f ca="1">UPPER(Customers[[#This Row],[Column7]])</f>
        <v>DEEP</v>
      </c>
      <c r="H11" s="1" t="str">
        <f ca="1">UPPER(Customers[[#This Row],[Column7]])</f>
        <v/>
      </c>
    </row>
    <row r="12" spans="1:8" x14ac:dyDescent="0.3">
      <c r="A12" s="6" t="s">
        <v>17</v>
      </c>
      <c r="B12" s="1" t="s">
        <v>13</v>
      </c>
      <c r="C12" s="1" t="s">
        <v>14</v>
      </c>
      <c r="D12" s="1" t="s">
        <v>106</v>
      </c>
      <c r="E12" s="1" t="s">
        <v>15</v>
      </c>
      <c r="F12" s="1" t="s">
        <v>16</v>
      </c>
      <c r="G12" s="1" t="str">
        <f ca="1">UPPER(Customers[[#This Row],[Column7]])</f>
        <v>NAMAN</v>
      </c>
      <c r="H12" s="1" t="str">
        <f ca="1">UPPER(Customers[[#This Row],[Column7]])</f>
        <v/>
      </c>
    </row>
    <row r="13" spans="1:8" x14ac:dyDescent="0.3">
      <c r="A13" s="6" t="s">
        <v>12</v>
      </c>
      <c r="B13" s="1" t="s">
        <v>18</v>
      </c>
      <c r="C13" s="1" t="s">
        <v>19</v>
      </c>
      <c r="D13" s="1" t="s">
        <v>20</v>
      </c>
      <c r="E13" s="1" t="s">
        <v>21</v>
      </c>
      <c r="F13" s="1" t="s">
        <v>22</v>
      </c>
      <c r="G13" s="1"/>
      <c r="H13" s="1" t="str">
        <f>UPPER(Customers[[#This Row],[Column7]])</f>
        <v/>
      </c>
    </row>
    <row r="14" spans="1:8" x14ac:dyDescent="0.3">
      <c r="A14" s="6" t="s">
        <v>27</v>
      </c>
      <c r="B14" s="1" t="s">
        <v>23</v>
      </c>
      <c r="C14" s="1" t="s">
        <v>24</v>
      </c>
      <c r="D14" s="1" t="s">
        <v>30</v>
      </c>
      <c r="E14" s="1" t="s">
        <v>25</v>
      </c>
      <c r="F14" s="1" t="s">
        <v>26</v>
      </c>
      <c r="G14" s="1"/>
      <c r="H14" s="1" t="str">
        <f>UPPER(Customers[[#This Row],[Column7]])</f>
        <v/>
      </c>
    </row>
    <row r="15" spans="1:8" x14ac:dyDescent="0.3">
      <c r="A15" s="6" t="s">
        <v>17</v>
      </c>
      <c r="B15" s="1" t="s">
        <v>23</v>
      </c>
      <c r="C15" s="1" t="s">
        <v>24</v>
      </c>
      <c r="D15" s="1" t="s">
        <v>30</v>
      </c>
      <c r="E15" s="1" t="s">
        <v>25</v>
      </c>
      <c r="F15" s="1" t="s">
        <v>26</v>
      </c>
      <c r="G15" s="1"/>
      <c r="H15" s="1" t="str">
        <f>UPPER(Customers[[#This Row],[Column7]])</f>
        <v/>
      </c>
    </row>
    <row r="16" spans="1:8" x14ac:dyDescent="0.3">
      <c r="A16" s="6" t="s">
        <v>27</v>
      </c>
      <c r="B16" s="1" t="s">
        <v>18</v>
      </c>
      <c r="C16" s="1" t="s">
        <v>19</v>
      </c>
      <c r="D16" s="1" t="s">
        <v>20</v>
      </c>
      <c r="E16" s="1" t="s">
        <v>21</v>
      </c>
      <c r="F16" s="1" t="s">
        <v>22</v>
      </c>
      <c r="G16" s="1"/>
      <c r="H16" s="1" t="str">
        <f>UPPER(Customers[[#This Row],[Column7]])</f>
        <v/>
      </c>
    </row>
    <row r="17" spans="1:8" x14ac:dyDescent="0.3">
      <c r="A17" s="6" t="s">
        <v>34</v>
      </c>
      <c r="B17" s="1" t="s">
        <v>23</v>
      </c>
      <c r="C17" s="1" t="s">
        <v>24</v>
      </c>
      <c r="D17" s="1" t="s">
        <v>30</v>
      </c>
      <c r="E17" s="1" t="s">
        <v>25</v>
      </c>
      <c r="F17" s="1" t="s">
        <v>26</v>
      </c>
      <c r="G17" s="1"/>
      <c r="H17" s="1" t="str">
        <f>UPPER(Customers[[#This Row],[Column7]])</f>
        <v/>
      </c>
    </row>
    <row r="18" spans="1:8" x14ac:dyDescent="0.3">
      <c r="A18" s="6" t="s">
        <v>35</v>
      </c>
      <c r="B18" s="1" t="s">
        <v>13</v>
      </c>
      <c r="C18" s="1" t="s">
        <v>14</v>
      </c>
      <c r="D18" s="1" t="s">
        <v>106</v>
      </c>
      <c r="E18" s="1" t="s">
        <v>15</v>
      </c>
      <c r="F18" s="1" t="s">
        <v>16</v>
      </c>
      <c r="G18" s="1"/>
      <c r="H18" s="1" t="str">
        <f>UPPER(Customers[[#This Row],[Column7]])</f>
        <v/>
      </c>
    </row>
    <row r="19" spans="1:8" x14ac:dyDescent="0.3">
      <c r="A19" s="6" t="s">
        <v>36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22</v>
      </c>
      <c r="G19" s="1"/>
      <c r="H19" s="1" t="str">
        <f>UPPER(Customers[[#This Row],[Column7]])</f>
        <v/>
      </c>
    </row>
    <row r="20" spans="1:8" x14ac:dyDescent="0.3">
      <c r="A20" s="6" t="s">
        <v>37</v>
      </c>
      <c r="B20" s="1" t="s">
        <v>23</v>
      </c>
      <c r="C20" s="1" t="s">
        <v>24</v>
      </c>
      <c r="D20" s="1" t="s">
        <v>30</v>
      </c>
      <c r="E20" s="1" t="s">
        <v>25</v>
      </c>
      <c r="F20" s="1" t="s">
        <v>26</v>
      </c>
      <c r="G20" s="1"/>
      <c r="H20" s="1" t="str">
        <f>UPPER(Customers[[#This Row],[Column7]])</f>
        <v/>
      </c>
    </row>
    <row r="21" spans="1:8" x14ac:dyDescent="0.3">
      <c r="A21" s="7"/>
      <c r="B21" s="2"/>
      <c r="C21" s="2"/>
      <c r="D21" s="2"/>
      <c r="E21" s="2"/>
      <c r="F21" s="2"/>
      <c r="G21" s="2"/>
      <c r="H21" s="2" t="str">
        <f>UPPER(Customers[[#This Row],[Column7]])</f>
        <v/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7EFA-B7E3-4E5D-ACEF-399B7618C8D9}">
  <dimension ref="A1:J27"/>
  <sheetViews>
    <sheetView workbookViewId="0">
      <selection activeCell="N11" sqref="N11"/>
    </sheetView>
  </sheetViews>
  <sheetFormatPr defaultRowHeight="14.4" x14ac:dyDescent="0.3"/>
  <cols>
    <col min="1" max="1" width="10.109375" style="8" bestFit="1" customWidth="1"/>
    <col min="2" max="2" width="12.21875" style="8" bestFit="1" customWidth="1"/>
    <col min="3" max="3" width="13.44140625" style="8" bestFit="1" customWidth="1"/>
    <col min="4" max="4" width="16.44140625" style="8" bestFit="1" customWidth="1"/>
    <col min="5" max="5" width="18.88671875" style="8" bestFit="1" customWidth="1"/>
    <col min="6" max="6" width="7.77734375" style="8" bestFit="1" customWidth="1"/>
    <col min="7" max="7" width="10.33203125" style="8" bestFit="1" customWidth="1"/>
    <col min="8" max="9" width="8.88671875" style="8"/>
    <col min="10" max="10" width="13.77734375" style="8" customWidth="1"/>
    <col min="11" max="16384" width="8.88671875" style="8"/>
  </cols>
  <sheetData>
    <row r="1" spans="1:10" x14ac:dyDescent="0.3">
      <c r="A1" s="8" t="s">
        <v>38</v>
      </c>
      <c r="B1" s="8" t="s">
        <v>39</v>
      </c>
      <c r="C1" s="8" t="s">
        <v>6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1</v>
      </c>
      <c r="I1" s="8" t="s">
        <v>2</v>
      </c>
      <c r="J1" s="8" t="s">
        <v>3</v>
      </c>
    </row>
    <row r="2" spans="1:10" x14ac:dyDescent="0.3">
      <c r="A2" s="9" t="s">
        <v>44</v>
      </c>
      <c r="B2" s="9" t="s">
        <v>45</v>
      </c>
      <c r="C2" s="9" t="s">
        <v>12</v>
      </c>
      <c r="D2" s="9" t="s">
        <v>46</v>
      </c>
      <c r="E2" s="9" t="s">
        <v>101</v>
      </c>
      <c r="F2" s="10">
        <v>250</v>
      </c>
      <c r="G2" s="10">
        <v>2</v>
      </c>
      <c r="H2" s="11"/>
      <c r="I2" s="12" t="b">
        <f>ISNUMBER(Orders[[#This Row],[Quantity]])</f>
        <v>1</v>
      </c>
      <c r="J2" s="12">
        <f>IF(ISBLANK(Orders[[#This Row],[Quantity]]),"null",G2)</f>
        <v>2</v>
      </c>
    </row>
    <row r="3" spans="1:10" x14ac:dyDescent="0.3">
      <c r="A3" s="9" t="s">
        <v>47</v>
      </c>
      <c r="B3" s="9" t="s">
        <v>48</v>
      </c>
      <c r="C3" s="9" t="s">
        <v>17</v>
      </c>
      <c r="D3" s="9" t="s">
        <v>49</v>
      </c>
      <c r="E3" s="9" t="s">
        <v>114</v>
      </c>
      <c r="F3" s="10">
        <v>1200</v>
      </c>
      <c r="G3" s="10">
        <v>1</v>
      </c>
      <c r="H3" s="13">
        <v>250</v>
      </c>
      <c r="I3" s="9" t="b">
        <f>ISNUMBER(Orders[[#This Row],[Quantity]])</f>
        <v>1</v>
      </c>
      <c r="J3" s="9">
        <f>IF(ISBLANK(Orders[[#This Row],[Quantity]]),"null",G3)</f>
        <v>1</v>
      </c>
    </row>
    <row r="4" spans="1:10" x14ac:dyDescent="0.3">
      <c r="A4" s="9" t="s">
        <v>50</v>
      </c>
      <c r="B4" s="9" t="s">
        <v>51</v>
      </c>
      <c r="C4" s="9" t="s">
        <v>12</v>
      </c>
      <c r="D4" s="9" t="s">
        <v>52</v>
      </c>
      <c r="E4" s="9" t="s">
        <v>101</v>
      </c>
      <c r="F4" s="10">
        <v>50</v>
      </c>
      <c r="G4" s="10">
        <v>4</v>
      </c>
      <c r="H4" s="13">
        <v>250</v>
      </c>
      <c r="I4" s="9" t="b">
        <f>ISNUMBER(Orders[[#This Row],[Quantity]])</f>
        <v>1</v>
      </c>
      <c r="J4" s="9">
        <f>IF(ISBLANK(Orders[[#This Row],[Quantity]]),"null",G4)</f>
        <v>4</v>
      </c>
    </row>
    <row r="5" spans="1:10" x14ac:dyDescent="0.3">
      <c r="A5" s="9" t="s">
        <v>53</v>
      </c>
      <c r="B5" s="9" t="s">
        <v>54</v>
      </c>
      <c r="C5" s="9" t="s">
        <v>27</v>
      </c>
      <c r="D5" s="9" t="s">
        <v>55</v>
      </c>
      <c r="E5" s="9" t="s">
        <v>56</v>
      </c>
      <c r="F5" s="10">
        <v>350</v>
      </c>
      <c r="G5" s="10">
        <v>1</v>
      </c>
      <c r="H5" s="13">
        <v>250</v>
      </c>
      <c r="I5" s="9" t="b">
        <f>ISNUMBER(Orders[[#This Row],[Quantity]])</f>
        <v>1</v>
      </c>
      <c r="J5" s="9">
        <f>IF(ISBLANK(Orders[[#This Row],[Quantity]]),"null",G5)</f>
        <v>1</v>
      </c>
    </row>
    <row r="6" spans="1:10" x14ac:dyDescent="0.3">
      <c r="A6" s="9" t="s">
        <v>57</v>
      </c>
      <c r="B6" s="9" t="s">
        <v>58</v>
      </c>
      <c r="C6" s="9" t="s">
        <v>28</v>
      </c>
      <c r="D6" s="9" t="s">
        <v>46</v>
      </c>
      <c r="E6" s="9" t="s">
        <v>101</v>
      </c>
      <c r="F6" s="10">
        <v>351</v>
      </c>
      <c r="G6" s="10">
        <v>2</v>
      </c>
      <c r="H6" s="13">
        <v>250</v>
      </c>
      <c r="I6" s="9" t="b">
        <f>ISNUMBER(Orders[[#This Row],[Quantity]])</f>
        <v>1</v>
      </c>
      <c r="J6" s="9">
        <f>IF(ISBLANK(Orders[[#This Row],[Quantity]]),"null",G6)</f>
        <v>2</v>
      </c>
    </row>
    <row r="7" spans="1:10" x14ac:dyDescent="0.3">
      <c r="A7" s="9" t="s">
        <v>59</v>
      </c>
      <c r="B7" s="9" t="s">
        <v>60</v>
      </c>
      <c r="C7" s="9" t="s">
        <v>29</v>
      </c>
      <c r="D7" s="9" t="s">
        <v>49</v>
      </c>
      <c r="E7" s="9" t="s">
        <v>114</v>
      </c>
      <c r="F7" s="10">
        <v>352</v>
      </c>
      <c r="G7" s="10">
        <v>1</v>
      </c>
      <c r="H7" s="13">
        <v>250</v>
      </c>
      <c r="I7" s="9" t="b">
        <f>ISNUMBER(Orders[[#This Row],[Quantity]])</f>
        <v>1</v>
      </c>
      <c r="J7" s="9">
        <f>IF(ISBLANK(Orders[[#This Row],[Quantity]]),"null",G7)</f>
        <v>1</v>
      </c>
    </row>
    <row r="8" spans="1:10" x14ac:dyDescent="0.3">
      <c r="A8" s="9" t="s">
        <v>61</v>
      </c>
      <c r="B8" s="9" t="s">
        <v>62</v>
      </c>
      <c r="C8" s="9" t="s">
        <v>31</v>
      </c>
      <c r="D8" s="9" t="s">
        <v>52</v>
      </c>
      <c r="E8" s="9" t="s">
        <v>101</v>
      </c>
      <c r="F8" s="10">
        <v>353</v>
      </c>
      <c r="G8" s="10"/>
      <c r="H8" s="13">
        <v>250</v>
      </c>
      <c r="I8" s="9" t="b">
        <f>ISNUMBER(Orders[[#This Row],[Quantity]])</f>
        <v>0</v>
      </c>
      <c r="J8" s="9" t="str">
        <f>IF(ISBLANK(Orders[[#This Row],[Quantity]]),"null",G8)</f>
        <v>null</v>
      </c>
    </row>
    <row r="9" spans="1:10" x14ac:dyDescent="0.3">
      <c r="A9" s="9" t="s">
        <v>63</v>
      </c>
      <c r="B9" s="9" t="s">
        <v>64</v>
      </c>
      <c r="C9" s="9" t="s">
        <v>32</v>
      </c>
      <c r="D9" s="9" t="s">
        <v>65</v>
      </c>
      <c r="E9" s="9" t="s">
        <v>56</v>
      </c>
      <c r="F9" s="10">
        <v>354</v>
      </c>
      <c r="G9" s="10">
        <v>1</v>
      </c>
      <c r="H9" s="13">
        <v>250</v>
      </c>
      <c r="I9" s="9" t="b">
        <f>ISNUMBER(Orders[[#This Row],[Quantity]])</f>
        <v>1</v>
      </c>
      <c r="J9" s="9">
        <f>IF(ISBLANK(Orders[[#This Row],[Quantity]]),"null",G9)</f>
        <v>1</v>
      </c>
    </row>
    <row r="10" spans="1:10" x14ac:dyDescent="0.3">
      <c r="A10" s="9" t="s">
        <v>66</v>
      </c>
      <c r="B10" s="9" t="s">
        <v>67</v>
      </c>
      <c r="C10" s="9" t="s">
        <v>33</v>
      </c>
      <c r="D10" s="9" t="s">
        <v>68</v>
      </c>
      <c r="E10" s="9" t="s">
        <v>101</v>
      </c>
      <c r="F10" s="10" t="s">
        <v>69</v>
      </c>
      <c r="G10" s="10">
        <v>2</v>
      </c>
      <c r="H10" s="13">
        <v>250</v>
      </c>
      <c r="I10" s="9" t="b">
        <f>ISNUMBER(Orders[[#This Row],[Quantity]])</f>
        <v>1</v>
      </c>
      <c r="J10" s="9">
        <f>IF(ISBLANK(Orders[[#This Row],[Quantity]]),"null",G10)</f>
        <v>2</v>
      </c>
    </row>
    <row r="11" spans="1:10" x14ac:dyDescent="0.3">
      <c r="A11" s="9" t="s">
        <v>70</v>
      </c>
      <c r="B11" s="9" t="s">
        <v>71</v>
      </c>
      <c r="C11" s="9" t="s">
        <v>12</v>
      </c>
      <c r="D11" s="9" t="s">
        <v>72</v>
      </c>
      <c r="E11" s="9" t="s">
        <v>114</v>
      </c>
      <c r="F11" s="10">
        <v>356</v>
      </c>
      <c r="G11" s="10">
        <v>1</v>
      </c>
      <c r="H11" s="13">
        <v>250</v>
      </c>
      <c r="I11" s="9" t="b">
        <f>ISNUMBER(Orders[[#This Row],[Quantity]])</f>
        <v>1</v>
      </c>
      <c r="J11" s="9">
        <f>IF(ISBLANK(Orders[[#This Row],[Quantity]]),"null",G11)</f>
        <v>1</v>
      </c>
    </row>
    <row r="12" spans="1:10" x14ac:dyDescent="0.3">
      <c r="A12" s="9" t="s">
        <v>73</v>
      </c>
      <c r="B12" s="9" t="s">
        <v>74</v>
      </c>
      <c r="C12" s="9" t="s">
        <v>17</v>
      </c>
      <c r="D12" s="9" t="s">
        <v>75</v>
      </c>
      <c r="E12" s="9" t="s">
        <v>101</v>
      </c>
      <c r="F12" s="10">
        <v>357</v>
      </c>
      <c r="G12" s="10">
        <v>4</v>
      </c>
      <c r="H12" s="13">
        <v>250</v>
      </c>
      <c r="I12" s="9" t="b">
        <f>ISNUMBER(Orders[[#This Row],[Quantity]])</f>
        <v>1</v>
      </c>
      <c r="J12" s="9">
        <f>IF(ISBLANK(Orders[[#This Row],[Quantity]]),"null",G12)</f>
        <v>4</v>
      </c>
    </row>
    <row r="13" spans="1:10" x14ac:dyDescent="0.3">
      <c r="A13" s="9" t="s">
        <v>76</v>
      </c>
      <c r="B13" s="9" t="s">
        <v>77</v>
      </c>
      <c r="C13" s="9" t="s">
        <v>12</v>
      </c>
      <c r="D13" s="9"/>
      <c r="E13" s="9"/>
      <c r="F13" s="10"/>
      <c r="G13" s="10"/>
      <c r="H13" s="13">
        <v>250</v>
      </c>
      <c r="I13" s="9" t="b">
        <f>ISNUMBER(Orders[[#This Row],[Quantity]])</f>
        <v>0</v>
      </c>
      <c r="J13" s="9" t="str">
        <f>IF(ISBLANK(Orders[[#This Row],[Quantity]]),"null",G13)</f>
        <v>null</v>
      </c>
    </row>
    <row r="14" spans="1:10" x14ac:dyDescent="0.3">
      <c r="A14" s="9" t="s">
        <v>78</v>
      </c>
      <c r="B14" s="9" t="s">
        <v>79</v>
      </c>
      <c r="C14" s="9" t="s">
        <v>27</v>
      </c>
      <c r="D14" s="9" t="s">
        <v>68</v>
      </c>
      <c r="E14" s="9" t="s">
        <v>101</v>
      </c>
      <c r="F14" s="10">
        <v>1200</v>
      </c>
      <c r="G14" s="10">
        <v>2</v>
      </c>
      <c r="H14" s="13">
        <v>250</v>
      </c>
      <c r="I14" s="9" t="b">
        <f>ISNUMBER(Orders[[#This Row],[Quantity]])</f>
        <v>1</v>
      </c>
      <c r="J14" s="9">
        <f>IF(ISBLANK(Orders[[#This Row],[Quantity]]),"null",G14)</f>
        <v>2</v>
      </c>
    </row>
    <row r="15" spans="1:10" x14ac:dyDescent="0.3">
      <c r="A15" s="9" t="s">
        <v>80</v>
      </c>
      <c r="B15" s="9" t="s">
        <v>81</v>
      </c>
      <c r="C15" s="9" t="s">
        <v>12</v>
      </c>
      <c r="D15" s="9" t="s">
        <v>72</v>
      </c>
      <c r="E15" s="9" t="s">
        <v>114</v>
      </c>
      <c r="F15" s="10">
        <v>50</v>
      </c>
      <c r="G15" s="10">
        <v>1</v>
      </c>
      <c r="H15" s="11"/>
      <c r="I15" s="9" t="b">
        <f>ISNUMBER(Orders[[#This Row],[Quantity]])</f>
        <v>1</v>
      </c>
      <c r="J15" s="9">
        <f>IF(ISBLANK(Orders[[#This Row],[Quantity]]),"null",G15)</f>
        <v>1</v>
      </c>
    </row>
    <row r="16" spans="1:10" x14ac:dyDescent="0.3">
      <c r="A16" s="9" t="s">
        <v>82</v>
      </c>
      <c r="B16" s="9" t="s">
        <v>83</v>
      </c>
      <c r="C16" s="9" t="s">
        <v>17</v>
      </c>
      <c r="D16" s="9" t="s">
        <v>75</v>
      </c>
      <c r="E16" s="9" t="s">
        <v>101</v>
      </c>
      <c r="F16" s="10">
        <v>250</v>
      </c>
      <c r="G16" s="10">
        <v>4</v>
      </c>
      <c r="H16" s="11"/>
      <c r="I16" s="9" t="b">
        <f>ISNUMBER(Orders[[#This Row],[Quantity]])</f>
        <v>1</v>
      </c>
      <c r="J16" s="9">
        <f>IF(ISBLANK(Orders[[#This Row],[Quantity]]),"null",G16)</f>
        <v>4</v>
      </c>
    </row>
    <row r="17" spans="1:10" x14ac:dyDescent="0.3">
      <c r="A17" s="9" t="s">
        <v>84</v>
      </c>
      <c r="B17" s="9" t="s">
        <v>85</v>
      </c>
      <c r="C17" s="9" t="s">
        <v>12</v>
      </c>
      <c r="D17" s="9" t="s">
        <v>65</v>
      </c>
      <c r="E17" s="9" t="s">
        <v>56</v>
      </c>
      <c r="F17" s="10">
        <v>1200</v>
      </c>
      <c r="G17" s="10">
        <v>1</v>
      </c>
      <c r="H17" s="11"/>
      <c r="I17" s="9" t="b">
        <f>ISNUMBER(Orders[[#This Row],[Quantity]])</f>
        <v>1</v>
      </c>
      <c r="J17" s="9">
        <f>IF(ISBLANK(Orders[[#This Row],[Quantity]]),"null",G17)</f>
        <v>1</v>
      </c>
    </row>
    <row r="18" spans="1:10" x14ac:dyDescent="0.3">
      <c r="A18" s="9" t="s">
        <v>86</v>
      </c>
      <c r="B18" s="9" t="s">
        <v>87</v>
      </c>
      <c r="C18" s="9" t="s">
        <v>27</v>
      </c>
      <c r="D18" s="9" t="s">
        <v>46</v>
      </c>
      <c r="E18" s="9" t="s">
        <v>101</v>
      </c>
      <c r="F18" s="10">
        <v>50</v>
      </c>
      <c r="G18" s="10">
        <v>2</v>
      </c>
      <c r="H18" s="11"/>
      <c r="I18" s="9" t="b">
        <f>ISNUMBER(Orders[[#This Row],[Quantity]])</f>
        <v>1</v>
      </c>
      <c r="J18" s="9">
        <f>IF(ISBLANK(Orders[[#This Row],[Quantity]]),"null",G18)</f>
        <v>2</v>
      </c>
    </row>
    <row r="19" spans="1:10" x14ac:dyDescent="0.3">
      <c r="A19" s="9" t="s">
        <v>88</v>
      </c>
      <c r="B19" s="9" t="s">
        <v>89</v>
      </c>
      <c r="C19" s="9" t="s">
        <v>12</v>
      </c>
      <c r="D19" s="9" t="s">
        <v>49</v>
      </c>
      <c r="E19" s="9" t="s">
        <v>114</v>
      </c>
      <c r="F19" s="10" t="s">
        <v>90</v>
      </c>
      <c r="G19" s="10">
        <v>1</v>
      </c>
      <c r="H19" s="11"/>
      <c r="I19" s="9" t="b">
        <f>ISNUMBER(Orders[[#This Row],[Quantity]])</f>
        <v>1</v>
      </c>
      <c r="J19" s="9">
        <f>IF(ISBLANK(Orders[[#This Row],[Quantity]]),"null",G19)</f>
        <v>1</v>
      </c>
    </row>
    <row r="20" spans="1:10" x14ac:dyDescent="0.3">
      <c r="A20" s="9" t="s">
        <v>91</v>
      </c>
      <c r="B20" s="9" t="s">
        <v>92</v>
      </c>
      <c r="C20" s="9" t="s">
        <v>17</v>
      </c>
      <c r="D20" s="9" t="s">
        <v>52</v>
      </c>
      <c r="E20" s="9" t="s">
        <v>101</v>
      </c>
      <c r="F20" s="10">
        <v>1200</v>
      </c>
      <c r="G20" s="10">
        <v>4</v>
      </c>
      <c r="H20" s="11"/>
      <c r="I20" s="9" t="b">
        <f>ISNUMBER(Orders[[#This Row],[Quantity]])</f>
        <v>1</v>
      </c>
      <c r="J20" s="9">
        <f>IF(ISBLANK(Orders[[#This Row],[Quantity]]),"null",G20)</f>
        <v>4</v>
      </c>
    </row>
    <row r="21" spans="1:10" x14ac:dyDescent="0.3">
      <c r="A21" s="9" t="s">
        <v>93</v>
      </c>
      <c r="B21" s="9" t="s">
        <v>94</v>
      </c>
      <c r="C21" s="9" t="s">
        <v>12</v>
      </c>
      <c r="D21" s="9" t="s">
        <v>55</v>
      </c>
      <c r="E21" s="9" t="s">
        <v>56</v>
      </c>
      <c r="F21" s="10">
        <v>50</v>
      </c>
      <c r="G21" s="10">
        <v>1</v>
      </c>
      <c r="H21" s="11"/>
      <c r="I21" s="9" t="b">
        <f>ISNUMBER(Orders[[#This Row],[Quantity]])</f>
        <v>1</v>
      </c>
      <c r="J21" s="9">
        <f>IF(ISBLANK(Orders[[#This Row],[Quantity]]),"null",G21)</f>
        <v>1</v>
      </c>
    </row>
    <row r="22" spans="1:10" x14ac:dyDescent="0.3">
      <c r="A22" s="9" t="s">
        <v>95</v>
      </c>
      <c r="B22" s="9" t="s">
        <v>96</v>
      </c>
      <c r="C22" s="9" t="s">
        <v>27</v>
      </c>
      <c r="D22" s="9" t="s">
        <v>46</v>
      </c>
      <c r="E22" s="9" t="s">
        <v>101</v>
      </c>
      <c r="F22" s="10">
        <v>250</v>
      </c>
      <c r="G22" s="10">
        <v>2</v>
      </c>
      <c r="H22" s="9"/>
      <c r="I22" s="9" t="b">
        <f>ISNUMBER(Orders[[#This Row],[Quantity]])</f>
        <v>1</v>
      </c>
      <c r="J22" s="9">
        <f>IF(ISBLANK(Orders[[#This Row],[Quantity]]),"null",G22)</f>
        <v>2</v>
      </c>
    </row>
    <row r="23" spans="1:10" x14ac:dyDescent="0.3">
      <c r="A23" s="9" t="s">
        <v>97</v>
      </c>
      <c r="B23" s="9" t="s">
        <v>98</v>
      </c>
      <c r="C23" s="9" t="s">
        <v>34</v>
      </c>
      <c r="D23" s="9"/>
      <c r="E23" s="9"/>
      <c r="F23" s="10"/>
      <c r="G23" s="10"/>
      <c r="H23" s="9"/>
      <c r="I23" s="9" t="b">
        <f>ISNUMBER(Orders[[#This Row],[Quantity]])</f>
        <v>0</v>
      </c>
      <c r="J23" s="9" t="str">
        <f>IF(ISBLANK(Orders[[#This Row],[Quantity]]),"null",G23)</f>
        <v>null</v>
      </c>
    </row>
    <row r="24" spans="1:10" x14ac:dyDescent="0.3">
      <c r="A24" s="9" t="s">
        <v>99</v>
      </c>
      <c r="B24" s="9" t="s">
        <v>100</v>
      </c>
      <c r="C24" s="9" t="s">
        <v>35</v>
      </c>
      <c r="D24" s="9" t="s">
        <v>75</v>
      </c>
      <c r="E24" s="9" t="s">
        <v>101</v>
      </c>
      <c r="F24" s="10">
        <v>50</v>
      </c>
      <c r="G24" s="10">
        <v>4</v>
      </c>
      <c r="H24" s="9"/>
      <c r="I24" s="9" t="b">
        <f>ISNUMBER(Orders[[#This Row],[Quantity]])</f>
        <v>1</v>
      </c>
      <c r="J24" s="9">
        <f>IF(ISBLANK(Orders[[#This Row],[Quantity]]),"null",G24)</f>
        <v>4</v>
      </c>
    </row>
    <row r="25" spans="1:10" x14ac:dyDescent="0.3">
      <c r="A25" s="9" t="s">
        <v>102</v>
      </c>
      <c r="B25" s="9" t="s">
        <v>103</v>
      </c>
      <c r="C25" s="9" t="s">
        <v>36</v>
      </c>
      <c r="D25" s="9" t="s">
        <v>65</v>
      </c>
      <c r="E25" s="9" t="s">
        <v>56</v>
      </c>
      <c r="F25" s="10">
        <v>1200</v>
      </c>
      <c r="G25" s="10">
        <v>1</v>
      </c>
      <c r="H25" s="9"/>
      <c r="I25" s="9" t="b">
        <f>ISNUMBER(Orders[[#This Row],[Quantity]])</f>
        <v>1</v>
      </c>
      <c r="J25" s="9">
        <f>IF(ISBLANK(Orders[[#This Row],[Quantity]]),"null",G25)</f>
        <v>1</v>
      </c>
    </row>
    <row r="26" spans="1:10" x14ac:dyDescent="0.3">
      <c r="A26" s="9" t="s">
        <v>104</v>
      </c>
      <c r="B26" s="9" t="s">
        <v>105</v>
      </c>
      <c r="C26" s="9" t="s">
        <v>37</v>
      </c>
      <c r="D26" s="9" t="s">
        <v>65</v>
      </c>
      <c r="E26" s="9" t="s">
        <v>101</v>
      </c>
      <c r="F26" s="10">
        <v>50</v>
      </c>
      <c r="G26" s="10">
        <v>2</v>
      </c>
      <c r="H26" s="9"/>
      <c r="I26" s="9" t="b">
        <f>ISNUMBER(Orders[[#This Row],[Quantity]])</f>
        <v>1</v>
      </c>
      <c r="J26" s="9">
        <f>IF(ISBLANK(Orders[[#This Row],[Quantity]]),"null",G26)</f>
        <v>2</v>
      </c>
    </row>
    <row r="27" spans="1:10" x14ac:dyDescent="0.3">
      <c r="A27" s="9"/>
      <c r="B27" s="9"/>
      <c r="C27" s="9"/>
      <c r="D27" s="9"/>
      <c r="E27" s="9"/>
      <c r="F27" s="10"/>
      <c r="G27" s="10"/>
      <c r="H27" s="9"/>
      <c r="I27" s="14" t="b">
        <f>ISNUMBER(Orders[[#This Row],[Quantity]])</f>
        <v>0</v>
      </c>
      <c r="J27" s="14" t="str">
        <f>IF(ISBLANK(Orders[[#This Row],[Quantity]]),"null",G27)</f>
        <v>null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2C7AA-D5FD-4094-9149-8E1D6B408C30}">
  <dimension ref="B6:F12"/>
  <sheetViews>
    <sheetView tabSelected="1" workbookViewId="0">
      <selection activeCell="H9" sqref="H9"/>
    </sheetView>
  </sheetViews>
  <sheetFormatPr defaultRowHeight="14.4" x14ac:dyDescent="0.3"/>
  <sheetData>
    <row r="6" spans="2:6" x14ac:dyDescent="0.3">
      <c r="B6" s="10">
        <v>1000</v>
      </c>
      <c r="C6" s="10">
        <v>100</v>
      </c>
      <c r="D6" s="10">
        <v>10</v>
      </c>
      <c r="E6" s="10">
        <f>IF(ISBLANK(D6),"null",D6)</f>
        <v>10</v>
      </c>
      <c r="F6" s="10">
        <v>10</v>
      </c>
    </row>
    <row r="7" spans="2:6" x14ac:dyDescent="0.3">
      <c r="B7" s="10">
        <v>2000</v>
      </c>
      <c r="C7" s="10">
        <v>200</v>
      </c>
      <c r="D7" s="10">
        <v>10</v>
      </c>
      <c r="E7" s="10">
        <f t="shared" ref="E7:E12" si="0">IF(ISBLANK(D7),"null",D7)</f>
        <v>10</v>
      </c>
      <c r="F7" s="10">
        <v>10</v>
      </c>
    </row>
    <row r="8" spans="2:6" x14ac:dyDescent="0.3">
      <c r="B8" s="10">
        <v>3000</v>
      </c>
      <c r="C8" s="10">
        <v>300</v>
      </c>
      <c r="D8" s="10">
        <v>10</v>
      </c>
      <c r="E8" s="10">
        <f t="shared" si="0"/>
        <v>10</v>
      </c>
      <c r="F8" s="10">
        <v>10</v>
      </c>
    </row>
    <row r="9" spans="2:6" x14ac:dyDescent="0.3">
      <c r="B9" s="10">
        <v>4000</v>
      </c>
      <c r="C9" s="10">
        <v>400</v>
      </c>
      <c r="D9" s="10">
        <v>10</v>
      </c>
      <c r="E9" s="10">
        <f t="shared" si="0"/>
        <v>10</v>
      </c>
      <c r="F9" s="10">
        <v>10</v>
      </c>
    </row>
    <row r="10" spans="2:6" x14ac:dyDescent="0.3">
      <c r="B10" s="10">
        <v>5000</v>
      </c>
      <c r="C10" s="10">
        <v>500</v>
      </c>
      <c r="D10" s="10">
        <v>10</v>
      </c>
      <c r="E10" s="10">
        <f t="shared" si="0"/>
        <v>10</v>
      </c>
      <c r="F10" s="10">
        <v>10</v>
      </c>
    </row>
    <row r="11" spans="2:6" x14ac:dyDescent="0.3">
      <c r="B11" s="10"/>
      <c r="C11" s="10"/>
      <c r="D11" s="10"/>
      <c r="E11" s="10" t="str">
        <f t="shared" si="0"/>
        <v>null</v>
      </c>
      <c r="F11" s="10"/>
    </row>
    <row r="12" spans="2:6" x14ac:dyDescent="0.3">
      <c r="B12" s="10"/>
      <c r="C12" s="10"/>
      <c r="D12" s="10"/>
      <c r="E12" s="10" t="str">
        <f t="shared" si="0"/>
        <v>null</v>
      </c>
      <c r="F12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48D81C-863E-4F95-B5D1-0E62464C6D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VNAV-PC</dc:creator>
  <cp:lastModifiedBy>VNAV-PC</cp:lastModifiedBy>
  <dcterms:created xsi:type="dcterms:W3CDTF">2026-07-24T06:40:52Z</dcterms:created>
  <dcterms:modified xsi:type="dcterms:W3CDTF">2026-07-24T07:48:38Z</dcterms:modified>
</cp:coreProperties>
</file>